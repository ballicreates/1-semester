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-120" yWindow="-120" windowWidth="29040" windowHeight="15720"/>
  </bookViews>
  <sheets>
    <sheet name="Sheet1" sheetId="1" r:id="rId1"/>
  </sheets>
  <calcPr calcId="125725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AB4" i="1"/>
  <c r="AB5"/>
  <c r="AB6"/>
  <c r="AB7"/>
  <c r="AB8"/>
  <c r="AB9"/>
  <c r="AA5"/>
  <c r="AA6"/>
  <c r="AA7"/>
  <c r="AA8"/>
  <c r="AA9"/>
  <c r="AA4"/>
  <c r="Z5"/>
  <c r="Z6"/>
  <c r="Z7"/>
  <c r="Z8"/>
  <c r="Z9"/>
  <c r="Z4"/>
  <c r="Y5"/>
  <c r="Y6"/>
  <c r="Y7"/>
  <c r="Y8"/>
  <c r="Y9"/>
  <c r="Y4"/>
  <c r="X5"/>
  <c r="X6"/>
  <c r="X7"/>
  <c r="X8"/>
  <c r="X9"/>
  <c r="X4"/>
  <c r="W5"/>
  <c r="W6"/>
  <c r="W7"/>
  <c r="W8"/>
  <c r="W9"/>
  <c r="W4"/>
  <c r="V5"/>
  <c r="V6"/>
  <c r="V7"/>
  <c r="V8"/>
  <c r="V9"/>
  <c r="V4"/>
  <c r="U5"/>
  <c r="U6"/>
  <c r="U7"/>
  <c r="U8"/>
  <c r="U9"/>
  <c r="U4"/>
  <c r="T5"/>
  <c r="T6"/>
  <c r="T7"/>
  <c r="T8"/>
  <c r="T9"/>
  <c r="T4"/>
  <c r="S5"/>
  <c r="S6"/>
  <c r="S7"/>
  <c r="S8"/>
  <c r="S9"/>
  <c r="S4"/>
  <c r="R5"/>
  <c r="R6"/>
  <c r="R7"/>
  <c r="R8"/>
  <c r="R9"/>
  <c r="R4"/>
  <c r="P5"/>
  <c r="P6"/>
  <c r="P7"/>
  <c r="P8"/>
  <c r="P9"/>
  <c r="P4"/>
  <c r="O5"/>
  <c r="O6"/>
  <c r="O7"/>
  <c r="O8"/>
  <c r="O9"/>
  <c r="O4"/>
  <c r="N5"/>
  <c r="N6"/>
  <c r="N7"/>
  <c r="N8"/>
  <c r="N9"/>
  <c r="N4"/>
  <c r="K4"/>
  <c r="I5"/>
  <c r="I6"/>
  <c r="I7"/>
  <c r="I8"/>
  <c r="I9"/>
  <c r="I4"/>
  <c r="M5"/>
  <c r="M6"/>
  <c r="M7"/>
  <c r="M8"/>
  <c r="M9"/>
  <c r="M4"/>
  <c r="L5"/>
  <c r="L6"/>
  <c r="L7"/>
  <c r="L8"/>
  <c r="L9"/>
  <c r="L4"/>
  <c r="J5"/>
  <c r="K5" s="1"/>
  <c r="J6"/>
  <c r="K6" s="1"/>
  <c r="J7"/>
  <c r="K7" s="1"/>
  <c r="J8"/>
  <c r="K8" s="1"/>
  <c r="J9"/>
  <c r="K9" s="1"/>
  <c r="J4"/>
  <c r="Q9"/>
  <c r="Q8"/>
  <c r="Q7"/>
  <c r="Q6"/>
  <c r="Q5"/>
  <c r="Q4"/>
</calcChain>
</file>

<file path=xl/sharedStrings.xml><?xml version="1.0" encoding="utf-8"?>
<sst xmlns="http://schemas.openxmlformats.org/spreadsheetml/2006/main" count="32" uniqueCount="32">
  <si>
    <t>STD NAME</t>
  </si>
  <si>
    <t>English</t>
  </si>
  <si>
    <t>Math</t>
  </si>
  <si>
    <t>Science</t>
  </si>
  <si>
    <t>TOTAL</t>
  </si>
  <si>
    <t>AVERAGE</t>
  </si>
  <si>
    <t>RESULT</t>
  </si>
  <si>
    <t>MAX</t>
  </si>
  <si>
    <t>MIN</t>
  </si>
  <si>
    <t>Obtained</t>
  </si>
  <si>
    <t>if</t>
  </si>
  <si>
    <t>COUNT</t>
  </si>
  <si>
    <t>POWER(2)</t>
  </si>
  <si>
    <t>DATE</t>
  </si>
  <si>
    <t>TODAY</t>
  </si>
  <si>
    <t>CONCAT</t>
  </si>
  <si>
    <t>CONCATENEATE</t>
  </si>
  <si>
    <t>UPPER</t>
  </si>
  <si>
    <t>LOWER</t>
  </si>
  <si>
    <t>LEFT</t>
  </si>
  <si>
    <t>RIGHT</t>
  </si>
  <si>
    <t>MID</t>
  </si>
  <si>
    <t>NOW</t>
  </si>
  <si>
    <t>TRIM</t>
  </si>
  <si>
    <t>LEN</t>
  </si>
  <si>
    <t>TIME</t>
  </si>
  <si>
    <t>BILAL</t>
  </si>
  <si>
    <t>ALI AHMED</t>
  </si>
  <si>
    <t xml:space="preserve"> MUSTAFA ABID</t>
  </si>
  <si>
    <t>HAMZA</t>
  </si>
  <si>
    <t>FARIS</t>
  </si>
  <si>
    <t>WAQAR</t>
  </si>
</sst>
</file>

<file path=xl/styles.xml><?xml version="1.0" encoding="utf-8"?>
<styleSheet xmlns="http://schemas.openxmlformats.org/spreadsheetml/2006/main">
  <fonts count="24">
    <font>
      <sz val="11"/>
      <color theme="1"/>
      <name val="Calibri"/>
      <family val="2"/>
      <scheme val="minor"/>
    </font>
    <font>
      <sz val="11"/>
      <color theme="7" tint="-0.249977111117893"/>
      <name val="Calibri"/>
      <family val="2"/>
      <scheme val="minor"/>
    </font>
    <font>
      <sz val="11"/>
      <color theme="8" tint="-0.499984740745262"/>
      <name val="Calibri"/>
      <family val="2"/>
      <scheme val="minor"/>
    </font>
    <font>
      <sz val="11"/>
      <color theme="9" tint="-0.499984740745262"/>
      <name val="Calibri"/>
      <family val="2"/>
      <scheme val="minor"/>
    </font>
    <font>
      <sz val="11"/>
      <color theme="5" tint="-0.499984740745262"/>
      <name val="Calibri"/>
      <family val="2"/>
      <scheme val="minor"/>
    </font>
    <font>
      <sz val="11"/>
      <color rgb="FF002060"/>
      <name val="Calibri"/>
      <family val="2"/>
      <scheme val="minor"/>
    </font>
    <font>
      <sz val="11"/>
      <color theme="5" tint="0.79998168889431442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 tint="4.9989318521683403E-2"/>
      <name val="Calibri"/>
      <family val="2"/>
      <scheme val="minor"/>
    </font>
    <font>
      <sz val="11"/>
      <color rgb="FF7030A0"/>
      <name val="Calibri"/>
      <family val="2"/>
      <scheme val="minor"/>
    </font>
    <font>
      <sz val="11"/>
      <color theme="1" tint="0.14999847407452621"/>
      <name val="Calibri"/>
      <family val="2"/>
      <scheme val="minor"/>
    </font>
    <font>
      <sz val="11"/>
      <color theme="9" tint="0.79998168889431442"/>
      <name val="Calibri"/>
      <family val="2"/>
      <scheme val="minor"/>
    </font>
    <font>
      <b/>
      <sz val="11"/>
      <color theme="7" tint="-0.249977111117893"/>
      <name val="Calibri"/>
      <family val="2"/>
      <scheme val="minor"/>
    </font>
    <font>
      <b/>
      <sz val="11"/>
      <color theme="8" tint="-0.499984740745262"/>
      <name val="Calibri"/>
      <family val="2"/>
      <scheme val="minor"/>
    </font>
    <font>
      <b/>
      <sz val="11"/>
      <color theme="9" tint="-0.499984740745262"/>
      <name val="Calibri"/>
      <family val="2"/>
      <scheme val="minor"/>
    </font>
    <font>
      <b/>
      <sz val="11"/>
      <color rgb="FF002060"/>
      <name val="Calibri"/>
      <family val="2"/>
      <scheme val="minor"/>
    </font>
    <font>
      <b/>
      <sz val="11"/>
      <color theme="5" tint="-0.499984740745262"/>
      <name val="Calibri"/>
      <family val="2"/>
      <scheme val="minor"/>
    </font>
    <font>
      <b/>
      <sz val="11"/>
      <color theme="5" tint="0.79998168889431442"/>
      <name val="Calibri"/>
      <family val="2"/>
      <scheme val="minor"/>
    </font>
    <font>
      <b/>
      <sz val="11"/>
      <color theme="1" tint="4.9989318521683403E-2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rgb="FF7030A0"/>
      <name val="Calibri"/>
      <family val="2"/>
      <scheme val="minor"/>
    </font>
    <font>
      <b/>
      <sz val="11"/>
      <color theme="1" tint="0.14999847407452621"/>
      <name val="Calibri"/>
      <family val="2"/>
      <scheme val="minor"/>
    </font>
    <font>
      <b/>
      <sz val="11"/>
      <color theme="9" tint="0.79998168889431442"/>
      <name val="Calibri"/>
      <family val="2"/>
      <scheme val="minor"/>
    </font>
  </fonts>
  <fills count="21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C00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2" fillId="3" borderId="1" xfId="0" applyFont="1" applyFill="1" applyBorder="1"/>
    <xf numFmtId="0" fontId="3" fillId="4" borderId="1" xfId="0" applyFont="1" applyFill="1" applyBorder="1"/>
    <xf numFmtId="0" fontId="4" fillId="5" borderId="1" xfId="0" applyFont="1" applyFill="1" applyBorder="1"/>
    <xf numFmtId="0" fontId="5" fillId="6" borderId="1" xfId="0" applyFont="1" applyFill="1" applyBorder="1"/>
    <xf numFmtId="0" fontId="6" fillId="7" borderId="1" xfId="0" applyFont="1" applyFill="1" applyBorder="1"/>
    <xf numFmtId="0" fontId="3" fillId="8" borderId="1" xfId="0" applyFont="1" applyFill="1" applyBorder="1"/>
    <xf numFmtId="0" fontId="9" fillId="9" borderId="1" xfId="0" applyFont="1" applyFill="1" applyBorder="1"/>
    <xf numFmtId="0" fontId="7" fillId="8" borderId="1" xfId="0" applyFont="1" applyFill="1" applyBorder="1"/>
    <xf numFmtId="14" fontId="4" fillId="10" borderId="1" xfId="0" applyNumberFormat="1" applyFont="1" applyFill="1" applyBorder="1"/>
    <xf numFmtId="0" fontId="2" fillId="11" borderId="1" xfId="0" applyFont="1" applyFill="1" applyBorder="1"/>
    <xf numFmtId="0" fontId="10" fillId="12" borderId="1" xfId="0" applyFont="1" applyFill="1" applyBorder="1"/>
    <xf numFmtId="0" fontId="11" fillId="13" borderId="1" xfId="0" applyFont="1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5" borderId="1" xfId="0" applyFill="1" applyBorder="1"/>
    <xf numFmtId="22" fontId="0" fillId="14" borderId="1" xfId="0" applyNumberFormat="1" applyFill="1" applyBorder="1"/>
    <xf numFmtId="14" fontId="0" fillId="17" borderId="1" xfId="0" applyNumberFormat="1" applyFill="1" applyBorder="1"/>
    <xf numFmtId="0" fontId="0" fillId="18" borderId="1" xfId="0" applyFill="1" applyBorder="1"/>
    <xf numFmtId="0" fontId="12" fillId="19" borderId="1" xfId="0" applyFont="1" applyFill="1" applyBorder="1"/>
    <xf numFmtId="18" fontId="0" fillId="20" borderId="1" xfId="0" applyNumberFormat="1" applyFill="1" applyBorder="1"/>
    <xf numFmtId="0" fontId="13" fillId="2" borderId="1" xfId="0" applyFont="1" applyFill="1" applyBorder="1"/>
    <xf numFmtId="0" fontId="8" fillId="0" borderId="1" xfId="0" applyFont="1" applyBorder="1" applyAlignment="1">
      <alignment horizontal="center"/>
    </xf>
    <xf numFmtId="0" fontId="14" fillId="3" borderId="1" xfId="0" applyFont="1" applyFill="1" applyBorder="1" applyAlignment="1">
      <alignment horizontal="center"/>
    </xf>
    <xf numFmtId="0" fontId="15" fillId="4" borderId="1" xfId="0" applyFont="1" applyFill="1" applyBorder="1" applyAlignment="1">
      <alignment horizontal="center"/>
    </xf>
    <xf numFmtId="0" fontId="16" fillId="6" borderId="1" xfId="0" applyFont="1" applyFill="1" applyBorder="1" applyAlignment="1">
      <alignment horizontal="center"/>
    </xf>
    <xf numFmtId="0" fontId="17" fillId="5" borderId="1" xfId="0" applyFont="1" applyFill="1" applyBorder="1" applyAlignment="1">
      <alignment horizontal="center"/>
    </xf>
    <xf numFmtId="0" fontId="18" fillId="7" borderId="1" xfId="0" applyFont="1" applyFill="1" applyBorder="1" applyAlignment="1">
      <alignment horizontal="center"/>
    </xf>
    <xf numFmtId="0" fontId="15" fillId="8" borderId="1" xfId="0" applyFont="1" applyFill="1" applyBorder="1"/>
    <xf numFmtId="0" fontId="19" fillId="9" borderId="1" xfId="0" applyFont="1" applyFill="1" applyBorder="1" applyAlignment="1">
      <alignment horizontal="center"/>
    </xf>
    <xf numFmtId="0" fontId="20" fillId="8" borderId="1" xfId="0" applyFont="1" applyFill="1" applyBorder="1" applyAlignment="1">
      <alignment horizontal="center"/>
    </xf>
    <xf numFmtId="0" fontId="17" fillId="10" borderId="1" xfId="0" applyFont="1" applyFill="1" applyBorder="1" applyAlignment="1">
      <alignment horizontal="center"/>
    </xf>
    <xf numFmtId="0" fontId="14" fillId="11" borderId="1" xfId="0" applyFont="1" applyFill="1" applyBorder="1" applyAlignment="1">
      <alignment horizontal="center"/>
    </xf>
    <xf numFmtId="0" fontId="21" fillId="12" borderId="1" xfId="0" applyFont="1" applyFill="1" applyBorder="1" applyAlignment="1">
      <alignment horizontal="center"/>
    </xf>
    <xf numFmtId="0" fontId="22" fillId="13" borderId="1" xfId="0" applyFont="1" applyFill="1" applyBorder="1" applyAlignment="1">
      <alignment horizontal="center"/>
    </xf>
    <xf numFmtId="0" fontId="8" fillId="14" borderId="1" xfId="0" applyFont="1" applyFill="1" applyBorder="1" applyAlignment="1">
      <alignment horizontal="center"/>
    </xf>
    <xf numFmtId="0" fontId="8" fillId="15" borderId="1" xfId="0" applyFont="1" applyFill="1" applyBorder="1" applyAlignment="1">
      <alignment horizontal="center"/>
    </xf>
    <xf numFmtId="0" fontId="8" fillId="16" borderId="1" xfId="0" applyFont="1" applyFill="1" applyBorder="1" applyAlignment="1">
      <alignment horizontal="center"/>
    </xf>
    <xf numFmtId="0" fontId="8" fillId="5" borderId="1" xfId="0" applyFont="1" applyFill="1" applyBorder="1" applyAlignment="1">
      <alignment horizontal="center"/>
    </xf>
    <xf numFmtId="0" fontId="8" fillId="17" borderId="1" xfId="0" applyFont="1" applyFill="1" applyBorder="1" applyAlignment="1">
      <alignment horizontal="center"/>
    </xf>
    <xf numFmtId="0" fontId="8" fillId="18" borderId="1" xfId="0" applyFont="1" applyFill="1" applyBorder="1" applyAlignment="1">
      <alignment horizontal="center"/>
    </xf>
    <xf numFmtId="0" fontId="23" fillId="19" borderId="1" xfId="0" applyFont="1" applyFill="1" applyBorder="1" applyAlignment="1">
      <alignment horizontal="center"/>
    </xf>
    <xf numFmtId="0" fontId="8" fillId="20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>
  <dimension ref="D2:AB9"/>
  <sheetViews>
    <sheetView tabSelected="1" topLeftCell="D1" workbookViewId="0">
      <selection activeCell="E9" sqref="E9"/>
    </sheetView>
  </sheetViews>
  <sheetFormatPr defaultRowHeight="15"/>
  <cols>
    <col min="4" max="4" width="11.7109375" bestFit="1" customWidth="1"/>
    <col min="8" max="8" width="11" customWidth="1"/>
    <col min="14" max="14" width="7.28515625" bestFit="1" customWidth="1"/>
    <col min="15" max="15" width="10" bestFit="1" customWidth="1"/>
    <col min="16" max="16" width="10.7109375" customWidth="1"/>
    <col min="17" max="17" width="15.140625" bestFit="1" customWidth="1"/>
    <col min="18" max="18" width="18.85546875" bestFit="1" customWidth="1"/>
    <col min="19" max="19" width="13.140625" bestFit="1" customWidth="1"/>
    <col min="20" max="20" width="11.28515625" bestFit="1" customWidth="1"/>
    <col min="21" max="21" width="6.7109375" customWidth="1"/>
    <col min="24" max="24" width="15.85546875" bestFit="1" customWidth="1"/>
    <col min="25" max="25" width="10.7109375" bestFit="1" customWidth="1"/>
    <col min="26" max="26" width="11.7109375" bestFit="1" customWidth="1"/>
  </cols>
  <sheetData>
    <row r="2" spans="4:28">
      <c r="K2" t="s">
        <v>10</v>
      </c>
    </row>
    <row r="3" spans="4:28">
      <c r="D3" s="24" t="s">
        <v>0</v>
      </c>
      <c r="E3" s="25" t="s">
        <v>1</v>
      </c>
      <c r="F3" s="25" t="s">
        <v>2</v>
      </c>
      <c r="G3" s="25" t="s">
        <v>3</v>
      </c>
      <c r="H3" s="26" t="s">
        <v>4</v>
      </c>
      <c r="I3" s="27" t="s">
        <v>9</v>
      </c>
      <c r="J3" s="28" t="s">
        <v>5</v>
      </c>
      <c r="K3" s="29" t="s">
        <v>6</v>
      </c>
      <c r="L3" s="30" t="s">
        <v>7</v>
      </c>
      <c r="M3" s="31" t="s">
        <v>8</v>
      </c>
      <c r="N3" s="32" t="s">
        <v>11</v>
      </c>
      <c r="O3" s="33" t="s">
        <v>12</v>
      </c>
      <c r="P3" s="34" t="s">
        <v>14</v>
      </c>
      <c r="Q3" s="35" t="s">
        <v>15</v>
      </c>
      <c r="R3" s="36" t="s">
        <v>16</v>
      </c>
      <c r="S3" s="37" t="s">
        <v>17</v>
      </c>
      <c r="T3" s="38" t="s">
        <v>18</v>
      </c>
      <c r="U3" s="39" t="s">
        <v>19</v>
      </c>
      <c r="V3" s="40" t="s">
        <v>20</v>
      </c>
      <c r="W3" s="41" t="s">
        <v>21</v>
      </c>
      <c r="X3" s="38" t="s">
        <v>22</v>
      </c>
      <c r="Y3" s="42" t="s">
        <v>13</v>
      </c>
      <c r="Z3" s="43" t="s">
        <v>23</v>
      </c>
      <c r="AA3" s="44" t="s">
        <v>24</v>
      </c>
      <c r="AB3" s="45" t="s">
        <v>25</v>
      </c>
    </row>
    <row r="4" spans="4:28">
      <c r="D4" s="1" t="s">
        <v>26</v>
      </c>
      <c r="E4" s="2">
        <v>65</v>
      </c>
      <c r="F4" s="2">
        <v>92</v>
      </c>
      <c r="G4" s="2">
        <v>89</v>
      </c>
      <c r="H4" s="3">
        <v>300</v>
      </c>
      <c r="I4" s="4">
        <f>SUM(E4:G4)</f>
        <v>246</v>
      </c>
      <c r="J4" s="6">
        <f>AVERAGE(E4:G4)</f>
        <v>82</v>
      </c>
      <c r="K4" s="5" t="str">
        <f>IF(J4&gt;=50,"pass","fail")</f>
        <v>pass</v>
      </c>
      <c r="L4" s="7">
        <f>MAX(E4:G4)</f>
        <v>92</v>
      </c>
      <c r="M4" s="8">
        <f>MIN(E4:G4)</f>
        <v>65</v>
      </c>
      <c r="N4" s="9">
        <f>COUNT(E4:L4)</f>
        <v>7</v>
      </c>
      <c r="O4" s="10">
        <f>POWER(E4,2)</f>
        <v>4225</v>
      </c>
      <c r="P4" s="11">
        <f ca="1">TODAY()</f>
        <v>46013</v>
      </c>
      <c r="Q4" s="12" t="e">
        <f ca="1">_xlfn.CONCAT(D4,D5)</f>
        <v>#NAME?</v>
      </c>
      <c r="R4" s="13" t="str">
        <f>CONCATENATE(D4,D7)</f>
        <v>BILALHAMZA</v>
      </c>
      <c r="S4" s="14" t="str">
        <f>UPPER(D4)</f>
        <v>BILAL</v>
      </c>
      <c r="T4" s="15" t="str">
        <f>LOWER(D4)</f>
        <v>bilal</v>
      </c>
      <c r="U4" s="16" t="str">
        <f>LEFT(D4,2)</f>
        <v>BI</v>
      </c>
      <c r="V4" s="17" t="str">
        <f>RIGHT(D4,3)</f>
        <v>LAL</v>
      </c>
      <c r="W4" s="18" t="str">
        <f>MID(D4,2,4)</f>
        <v>ILAL</v>
      </c>
      <c r="X4" s="19">
        <f ca="1">NOW()</f>
        <v>46013.517354282405</v>
      </c>
      <c r="Y4" s="20">
        <f>DATE(2025,12,25)</f>
        <v>46016</v>
      </c>
      <c r="Z4" s="21" t="str">
        <f>TRIM(D4)</f>
        <v>BILAL</v>
      </c>
      <c r="AA4" s="22">
        <f>LEN(D4)</f>
        <v>5</v>
      </c>
      <c r="AB4" s="23">
        <f>TIME(1,56,45)</f>
        <v>8.1076388888888892E-2</v>
      </c>
    </row>
    <row r="5" spans="4:28">
      <c r="D5" s="1" t="s">
        <v>27</v>
      </c>
      <c r="E5" s="2">
        <v>95</v>
      </c>
      <c r="F5" s="2">
        <v>86</v>
      </c>
      <c r="G5" s="2">
        <v>65</v>
      </c>
      <c r="H5" s="3">
        <v>300</v>
      </c>
      <c r="I5" s="4">
        <f t="shared" ref="I5:I9" si="0">SUM(E5:G5)</f>
        <v>246</v>
      </c>
      <c r="J5" s="6">
        <f t="shared" ref="J5:J9" si="1">AVERAGE(E5:G5)</f>
        <v>82</v>
      </c>
      <c r="K5" s="5" t="str">
        <f t="shared" ref="K5" si="2">IF(J5&gt;=50,"pass","fail")</f>
        <v>pass</v>
      </c>
      <c r="L5" s="7">
        <f t="shared" ref="L5:L9" si="3">MAX(E5:G5)</f>
        <v>95</v>
      </c>
      <c r="M5" s="8">
        <f t="shared" ref="M5:M9" si="4">MIN(E5:G5)</f>
        <v>65</v>
      </c>
      <c r="N5" s="9">
        <f t="shared" ref="N5:N9" si="5">COUNT(E5:L5)</f>
        <v>7</v>
      </c>
      <c r="O5" s="10">
        <f t="shared" ref="O5:O9" si="6">POWER(E5,2)</f>
        <v>9025</v>
      </c>
      <c r="P5" s="11">
        <f t="shared" ref="P5:P9" ca="1" si="7">TODAY()</f>
        <v>46013</v>
      </c>
      <c r="Q5" s="12" t="e">
        <f t="shared" ref="Q5:Q9" ca="1" si="8">_xlfn.CONCAT(D5,D6)</f>
        <v>#NAME?</v>
      </c>
      <c r="R5" s="13" t="str">
        <f t="shared" ref="R5:R9" si="9">CONCATENATE(D5,D8)</f>
        <v>ALI AHMEDFARIS</v>
      </c>
      <c r="S5" s="14" t="str">
        <f t="shared" ref="S5:S9" si="10">UPPER(D5)</f>
        <v>ALI AHMED</v>
      </c>
      <c r="T5" s="15" t="str">
        <f t="shared" ref="T5:T9" si="11">LOWER(D5)</f>
        <v>ali ahmed</v>
      </c>
      <c r="U5" s="16" t="str">
        <f t="shared" ref="U5:U9" si="12">LEFT(D5,2)</f>
        <v>AL</v>
      </c>
      <c r="V5" s="17" t="str">
        <f t="shared" ref="V5:V9" si="13">RIGHT(D5,3)</f>
        <v>MED</v>
      </c>
      <c r="W5" s="18" t="str">
        <f t="shared" ref="W5:W9" si="14">MID(D5,2,4)</f>
        <v>LI A</v>
      </c>
      <c r="X5" s="19">
        <f t="shared" ref="X5:X9" ca="1" si="15">NOW()</f>
        <v>46013.517354282405</v>
      </c>
      <c r="Y5" s="20">
        <f t="shared" ref="Y5:Y9" si="16">DATE(2025,12,25)</f>
        <v>46016</v>
      </c>
      <c r="Z5" s="21" t="str">
        <f t="shared" ref="Z5:Z9" si="17">TRIM(D5)</f>
        <v>ALI AHMED</v>
      </c>
      <c r="AA5" s="22">
        <f t="shared" ref="AA5:AA9" si="18">LEN(D5)</f>
        <v>9</v>
      </c>
      <c r="AB5" s="23">
        <f t="shared" ref="AB5:AB9" si="19">TIME(1,56,45)</f>
        <v>8.1076388888888892E-2</v>
      </c>
    </row>
    <row r="6" spans="4:28">
      <c r="D6" s="1" t="s">
        <v>28</v>
      </c>
      <c r="E6" s="2">
        <v>22</v>
      </c>
      <c r="F6" s="2">
        <v>96</v>
      </c>
      <c r="G6" s="2">
        <v>85</v>
      </c>
      <c r="H6" s="3">
        <v>300</v>
      </c>
      <c r="I6" s="4">
        <f t="shared" si="0"/>
        <v>203</v>
      </c>
      <c r="J6" s="6">
        <f t="shared" si="1"/>
        <v>67.666666666666671</v>
      </c>
      <c r="K6" s="5" t="str">
        <f>IF(J6&gt;=50,"pass","fail")</f>
        <v>pass</v>
      </c>
      <c r="L6" s="7">
        <f t="shared" si="3"/>
        <v>96</v>
      </c>
      <c r="M6" s="8">
        <f t="shared" si="4"/>
        <v>22</v>
      </c>
      <c r="N6" s="9">
        <f t="shared" si="5"/>
        <v>7</v>
      </c>
      <c r="O6" s="10">
        <f t="shared" si="6"/>
        <v>484</v>
      </c>
      <c r="P6" s="11">
        <f t="shared" ca="1" si="7"/>
        <v>46013</v>
      </c>
      <c r="Q6" s="12" t="e">
        <f t="shared" ca="1" si="8"/>
        <v>#NAME?</v>
      </c>
      <c r="R6" s="13" t="str">
        <f t="shared" si="9"/>
        <v xml:space="preserve"> MUSTAFA ABIDWAQAR</v>
      </c>
      <c r="S6" s="14" t="str">
        <f t="shared" si="10"/>
        <v xml:space="preserve"> MUSTAFA ABID</v>
      </c>
      <c r="T6" s="15" t="str">
        <f t="shared" si="11"/>
        <v xml:space="preserve"> mustafa abid</v>
      </c>
      <c r="U6" s="16" t="str">
        <f t="shared" si="12"/>
        <v xml:space="preserve"> M</v>
      </c>
      <c r="V6" s="17" t="str">
        <f t="shared" si="13"/>
        <v>BID</v>
      </c>
      <c r="W6" s="18" t="str">
        <f t="shared" si="14"/>
        <v>MUST</v>
      </c>
      <c r="X6" s="19">
        <f t="shared" ca="1" si="15"/>
        <v>46013.517354282405</v>
      </c>
      <c r="Y6" s="20">
        <f t="shared" si="16"/>
        <v>46016</v>
      </c>
      <c r="Z6" s="21" t="str">
        <f t="shared" si="17"/>
        <v>MUSTAFA ABID</v>
      </c>
      <c r="AA6" s="22">
        <f t="shared" si="18"/>
        <v>13</v>
      </c>
      <c r="AB6" s="23">
        <f t="shared" si="19"/>
        <v>8.1076388888888892E-2</v>
      </c>
    </row>
    <row r="7" spans="4:28">
      <c r="D7" s="1" t="s">
        <v>29</v>
      </c>
      <c r="E7" s="2">
        <v>65</v>
      </c>
      <c r="F7" s="2">
        <v>33</v>
      </c>
      <c r="G7" s="2">
        <v>96</v>
      </c>
      <c r="H7" s="3">
        <v>300</v>
      </c>
      <c r="I7" s="4">
        <f t="shared" si="0"/>
        <v>194</v>
      </c>
      <c r="J7" s="6">
        <f t="shared" si="1"/>
        <v>64.666666666666671</v>
      </c>
      <c r="K7" s="5" t="str">
        <f>IF(J7&gt;=50,"pass","fail")</f>
        <v>pass</v>
      </c>
      <c r="L7" s="7">
        <f t="shared" si="3"/>
        <v>96</v>
      </c>
      <c r="M7" s="8">
        <f t="shared" si="4"/>
        <v>33</v>
      </c>
      <c r="N7" s="9">
        <f t="shared" si="5"/>
        <v>7</v>
      </c>
      <c r="O7" s="10">
        <f t="shared" si="6"/>
        <v>4225</v>
      </c>
      <c r="P7" s="11">
        <f t="shared" ca="1" si="7"/>
        <v>46013</v>
      </c>
      <c r="Q7" s="12" t="e">
        <f t="shared" ca="1" si="8"/>
        <v>#NAME?</v>
      </c>
      <c r="R7" s="13" t="str">
        <f t="shared" si="9"/>
        <v>HAMZA</v>
      </c>
      <c r="S7" s="14" t="str">
        <f t="shared" si="10"/>
        <v>HAMZA</v>
      </c>
      <c r="T7" s="15" t="str">
        <f t="shared" si="11"/>
        <v>hamza</v>
      </c>
      <c r="U7" s="16" t="str">
        <f t="shared" si="12"/>
        <v>HA</v>
      </c>
      <c r="V7" s="17" t="str">
        <f t="shared" si="13"/>
        <v>MZA</v>
      </c>
      <c r="W7" s="18" t="str">
        <f t="shared" si="14"/>
        <v>AMZA</v>
      </c>
      <c r="X7" s="19">
        <f t="shared" ca="1" si="15"/>
        <v>46013.517354282405</v>
      </c>
      <c r="Y7" s="20">
        <f t="shared" si="16"/>
        <v>46016</v>
      </c>
      <c r="Z7" s="21" t="str">
        <f t="shared" si="17"/>
        <v>HAMZA</v>
      </c>
      <c r="AA7" s="22">
        <f t="shared" si="18"/>
        <v>5</v>
      </c>
      <c r="AB7" s="23">
        <f t="shared" si="19"/>
        <v>8.1076388888888892E-2</v>
      </c>
    </row>
    <row r="8" spans="4:28">
      <c r="D8" s="1" t="s">
        <v>30</v>
      </c>
      <c r="E8" s="2">
        <v>54</v>
      </c>
      <c r="F8" s="2">
        <v>45</v>
      </c>
      <c r="G8" s="2">
        <v>35</v>
      </c>
      <c r="H8" s="3">
        <v>300</v>
      </c>
      <c r="I8" s="4">
        <f t="shared" si="0"/>
        <v>134</v>
      </c>
      <c r="J8" s="6">
        <f t="shared" si="1"/>
        <v>44.666666666666664</v>
      </c>
      <c r="K8" s="5" t="str">
        <f>IF(J8&gt;=50,"pass","fail")</f>
        <v>fail</v>
      </c>
      <c r="L8" s="7">
        <f t="shared" si="3"/>
        <v>54</v>
      </c>
      <c r="M8" s="8">
        <f t="shared" si="4"/>
        <v>35</v>
      </c>
      <c r="N8" s="9">
        <f t="shared" si="5"/>
        <v>7</v>
      </c>
      <c r="O8" s="10">
        <f t="shared" si="6"/>
        <v>2916</v>
      </c>
      <c r="P8" s="11">
        <f t="shared" ca="1" si="7"/>
        <v>46013</v>
      </c>
      <c r="Q8" s="12" t="e">
        <f t="shared" ca="1" si="8"/>
        <v>#NAME?</v>
      </c>
      <c r="R8" s="13" t="str">
        <f t="shared" si="9"/>
        <v>FARIS</v>
      </c>
      <c r="S8" s="14" t="str">
        <f t="shared" si="10"/>
        <v>FARIS</v>
      </c>
      <c r="T8" s="15" t="str">
        <f t="shared" si="11"/>
        <v>faris</v>
      </c>
      <c r="U8" s="16" t="str">
        <f t="shared" si="12"/>
        <v>FA</v>
      </c>
      <c r="V8" s="17" t="str">
        <f t="shared" si="13"/>
        <v>RIS</v>
      </c>
      <c r="W8" s="18" t="str">
        <f t="shared" si="14"/>
        <v>ARIS</v>
      </c>
      <c r="X8" s="19">
        <f t="shared" ca="1" si="15"/>
        <v>46013.517354282405</v>
      </c>
      <c r="Y8" s="20">
        <f t="shared" si="16"/>
        <v>46016</v>
      </c>
      <c r="Z8" s="21" t="str">
        <f t="shared" si="17"/>
        <v>FARIS</v>
      </c>
      <c r="AA8" s="22">
        <f t="shared" si="18"/>
        <v>5</v>
      </c>
      <c r="AB8" s="23">
        <f t="shared" si="19"/>
        <v>8.1076388888888892E-2</v>
      </c>
    </row>
    <row r="9" spans="4:28">
      <c r="D9" s="1" t="s">
        <v>31</v>
      </c>
      <c r="E9" s="2">
        <v>87</v>
      </c>
      <c r="F9" s="2">
        <v>54</v>
      </c>
      <c r="G9" s="2">
        <v>87</v>
      </c>
      <c r="H9" s="3">
        <v>300</v>
      </c>
      <c r="I9" s="4">
        <f t="shared" si="0"/>
        <v>228</v>
      </c>
      <c r="J9" s="6">
        <f t="shared" si="1"/>
        <v>76</v>
      </c>
      <c r="K9" s="5" t="str">
        <f>IF(J9&gt;=50,"pass","fail")</f>
        <v>pass</v>
      </c>
      <c r="L9" s="7">
        <f t="shared" si="3"/>
        <v>87</v>
      </c>
      <c r="M9" s="8">
        <f t="shared" si="4"/>
        <v>54</v>
      </c>
      <c r="N9" s="9">
        <f t="shared" si="5"/>
        <v>7</v>
      </c>
      <c r="O9" s="10">
        <f t="shared" si="6"/>
        <v>7569</v>
      </c>
      <c r="P9" s="11">
        <f t="shared" ca="1" si="7"/>
        <v>46013</v>
      </c>
      <c r="Q9" s="12" t="e">
        <f t="shared" ca="1" si="8"/>
        <v>#NAME?</v>
      </c>
      <c r="R9" s="13" t="str">
        <f t="shared" si="9"/>
        <v>WAQAR</v>
      </c>
      <c r="S9" s="14" t="str">
        <f t="shared" si="10"/>
        <v>WAQAR</v>
      </c>
      <c r="T9" s="15" t="str">
        <f t="shared" si="11"/>
        <v>waqar</v>
      </c>
      <c r="U9" s="16" t="str">
        <f t="shared" si="12"/>
        <v>WA</v>
      </c>
      <c r="V9" s="17" t="str">
        <f t="shared" si="13"/>
        <v>QAR</v>
      </c>
      <c r="W9" s="18" t="str">
        <f t="shared" si="14"/>
        <v>AQAR</v>
      </c>
      <c r="X9" s="19">
        <f t="shared" ca="1" si="15"/>
        <v>46013.517354282405</v>
      </c>
      <c r="Y9" s="20">
        <f t="shared" si="16"/>
        <v>46016</v>
      </c>
      <c r="Z9" s="21" t="str">
        <f t="shared" si="17"/>
        <v>WAQAR</v>
      </c>
      <c r="AA9" s="22">
        <f t="shared" si="18"/>
        <v>5</v>
      </c>
      <c r="AB9" s="23">
        <f t="shared" si="19"/>
        <v>8.1076388888888892E-2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PG-LAB</dc:creator>
  <cp:lastModifiedBy>LAB-PC-72</cp:lastModifiedBy>
  <dcterms:created xsi:type="dcterms:W3CDTF">2025-12-15T07:10:34Z</dcterms:created>
  <dcterms:modified xsi:type="dcterms:W3CDTF">2025-12-22T07:28:38Z</dcterms:modified>
</cp:coreProperties>
</file>