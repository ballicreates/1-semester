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<sst xmlns="http://schemas.openxmlformats.org/spreadsheetml/2006/main" count="28" uniqueCount="28">
  <si>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</si>
  <si>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ID</t>
  </si>
  <si>
    <t>ICT</t>
  </si>
  <si>
    <t>PF</t>
  </si>
  <si>
    <t>ENGLISH</t>
  </si>
  <si>
    <t>PHY</t>
  </si>
  <si>
    <t>PF LAB</t>
  </si>
  <si>
    <t>PHY LAB</t>
  </si>
  <si>
    <t>CALCULUS</t>
  </si>
  <si>
    <t>TOTAL MARKS</t>
  </si>
  <si>
    <t>OBTAINED MARKS</t>
  </si>
  <si>
    <t>average</t>
  </si>
  <si>
    <t>percentage</t>
  </si>
  <si>
    <t>minimum</t>
  </si>
  <si>
    <t>maximum</t>
  </si>
  <si>
    <t>count</t>
  </si>
  <si>
    <t>power</t>
  </si>
  <si>
    <t>square</t>
  </si>
  <si>
    <t>concat</t>
  </si>
  <si>
    <t>trim</t>
  </si>
  <si>
    <t>replace</t>
  </si>
  <si>
    <t>substitute</t>
  </si>
  <si>
    <t xml:space="preserve"> </t>
  </si>
  <si>
    <t>BILAL</t>
  </si>
  <si>
    <t>muddasar  khan</t>
  </si>
  <si>
    <t>ali    ahmed</t>
  </si>
  <si>
    <t>hamza khan</t>
  </si>
  <si>
    <t>bakar jut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</si>
</sst>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3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"/>
  <sheetViews>
    <sheetView tabSelected="1" topLeftCell="L1" workbookViewId="0">
      <selection activeCell="W3" sqref="W3"/>
    </sheetView>
  </sheetViews>
  <sheetFormatPr defaultColWidth="9" defaultRowHeight="14.5" outlineLevelRow="7"/>
  <cols>
    <col min="4" max="4" width="12.5454545454545" customWidth="1"/>
    <col min="5" max="5" width="16" customWidth="1"/>
    <col min="8" max="8" width="10" customWidth="1"/>
    <col min="9" max="9" width="11.9090909090909" customWidth="1"/>
    <col min="10" max="10" width="16.2727272727273" customWidth="1"/>
    <col min="11" max="11" width="20.6363636363636" customWidth="1"/>
    <col min="12" max="12" width="10.3636363636364" customWidth="1"/>
    <col min="13" max="13" width="12.9090909090909" customWidth="1"/>
    <col min="14" max="14" width="10.5454545454545" customWidth="1"/>
    <col min="15" max="15" width="11.7272727272727" customWidth="1"/>
    <col min="19" max="19" width="15.4545454545455" customWidth="1"/>
    <col min="20" max="20" width="10.9090909090909" customWidth="1"/>
    <col min="21" max="21" width="9.63636363636364" customWidth="1"/>
    <col min="22" max="22" width="11.7272727272727" customWidth="1"/>
  </cols>
  <sheetData>
    <row r="1" ht="18.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 t="s">
        <v>23</v>
      </c>
      <c r="B2">
        <v>45961</v>
      </c>
      <c r="C2">
        <v>90</v>
      </c>
      <c r="D2">
        <v>98</v>
      </c>
      <c r="E2" s="2">
        <v>97</v>
      </c>
      <c r="F2">
        <v>90</v>
      </c>
      <c r="G2">
        <v>80</v>
      </c>
      <c r="H2">
        <v>80</v>
      </c>
      <c r="I2">
        <v>80</v>
      </c>
      <c r="J2">
        <v>700</v>
      </c>
      <c r="K2">
        <f>SUM(C2:I2)</f>
        <v>615</v>
      </c>
      <c r="L2" s="3">
        <f>AVERAGE(K2/7)</f>
        <v>87.8571428571429</v>
      </c>
      <c r="M2" s="3">
        <f>(K2/J2*100)</f>
        <v>87.8571428571429</v>
      </c>
      <c r="N2">
        <f>MIN(D2:G2)</f>
        <v>80</v>
      </c>
      <c r="O2">
        <f>MAX(C2:I2)</f>
        <v>98</v>
      </c>
      <c r="P2">
        <v>5</v>
      </c>
      <c r="Q2">
        <f>POWER(F2,2)</f>
        <v>8100</v>
      </c>
      <c r="R2">
        <f>POWER(I2,2)</f>
        <v>6400</v>
      </c>
      <c r="S2" t="str">
        <f>CONCATENATE(A2,B2)</f>
        <v>BILAL45961</v>
      </c>
      <c r="T2" t="str">
        <f>TRIM(A5)</f>
        <v>hamza khan</v>
      </c>
      <c r="U2" t="str">
        <f>REPLACE(T2,6,5,"jutt")</f>
        <v>hamzajutt</v>
      </c>
      <c r="V2" t="str">
        <f>SUBSTITUTE(T2,"khan","jut")</f>
        <v>hamza jut</v>
      </c>
    </row>
    <row r="3" spans="1:22">
      <c r="A3" t="s">
        <v>24</v>
      </c>
      <c r="B3">
        <v>45687</v>
      </c>
      <c r="C3">
        <v>80</v>
      </c>
      <c r="D3">
        <v>80</v>
      </c>
      <c r="E3" s="2">
        <v>90</v>
      </c>
      <c r="F3">
        <v>80</v>
      </c>
      <c r="G3">
        <v>87</v>
      </c>
      <c r="H3">
        <v>87</v>
      </c>
      <c r="I3">
        <v>89</v>
      </c>
      <c r="J3">
        <v>700</v>
      </c>
      <c r="K3">
        <f t="shared" ref="K3:K6" si="0">SUM(C3:I3)</f>
        <v>593</v>
      </c>
      <c r="L3" s="3">
        <f t="shared" ref="L3:L6" si="1">AVERAGE(K3/7)</f>
        <v>84.7142857142857</v>
      </c>
      <c r="M3" s="3">
        <f t="shared" ref="M3:M6" si="2">(K3/J3*100)</f>
        <v>84.7142857142857</v>
      </c>
      <c r="N3">
        <f t="shared" ref="N3:N6" si="3">MIN(D3:G3)</f>
        <v>80</v>
      </c>
      <c r="O3">
        <f t="shared" ref="O3:O6" si="4">MAX(C3:I3)</f>
        <v>90</v>
      </c>
      <c r="P3">
        <v>5</v>
      </c>
      <c r="Q3">
        <f>(POWER(F3,2))</f>
        <v>6400</v>
      </c>
      <c r="R3">
        <f t="shared" ref="R3:R6" si="5">POWER(I3,2)</f>
        <v>7921</v>
      </c>
      <c r="S3" t="str">
        <f t="shared" ref="S3:S6" si="6">CONCATENATE(A3,B3)</f>
        <v>muddasar  khan45687</v>
      </c>
      <c r="T3" t="str">
        <f t="shared" ref="T3:T6" si="7">TRIM(A6)</f>
        <v>bakar jut</v>
      </c>
      <c r="U3" t="str">
        <f t="shared" ref="U3:U6" si="8">REPLACE(T3,6,5,"jutt")</f>
        <v>bakarjutt</v>
      </c>
      <c r="V3" t="str">
        <f t="shared" ref="V3:V6" si="9">SUBSTITUTE(T3,"khan","jut")</f>
        <v>bakar jut</v>
      </c>
    </row>
    <row r="4" spans="1:22">
      <c r="A4" t="s">
        <v>25</v>
      </c>
      <c r="B4">
        <v>48972</v>
      </c>
      <c r="C4">
        <v>80</v>
      </c>
      <c r="D4">
        <v>77</v>
      </c>
      <c r="E4" s="2">
        <v>78</v>
      </c>
      <c r="F4">
        <v>87</v>
      </c>
      <c r="G4">
        <v>78</v>
      </c>
      <c r="H4">
        <v>87</v>
      </c>
      <c r="I4">
        <v>89</v>
      </c>
      <c r="J4">
        <v>700</v>
      </c>
      <c r="K4">
        <f t="shared" si="0"/>
        <v>576</v>
      </c>
      <c r="L4" s="3">
        <f t="shared" si="1"/>
        <v>82.2857142857143</v>
      </c>
      <c r="M4" s="3">
        <f t="shared" si="2"/>
        <v>82.2857142857143</v>
      </c>
      <c r="N4">
        <f t="shared" si="3"/>
        <v>77</v>
      </c>
      <c r="O4">
        <f t="shared" si="4"/>
        <v>89</v>
      </c>
      <c r="P4">
        <v>5</v>
      </c>
      <c r="Q4">
        <f>(POWER(F4,2))</f>
        <v>7569</v>
      </c>
      <c r="R4">
        <f t="shared" si="5"/>
        <v>7921</v>
      </c>
      <c r="S4" t="str">
        <f t="shared" si="6"/>
        <v>ali    ahmed48972</v>
      </c>
      <c r="T4" t="str">
        <f>TRIM(A4)</f>
        <v>ali ahmed</v>
      </c>
      <c r="U4" t="str">
        <f t="shared" si="8"/>
        <v>ali ajutt</v>
      </c>
      <c r="V4" t="str">
        <f t="shared" si="9"/>
        <v>ali ahmed</v>
      </c>
    </row>
    <row r="5" spans="1:22">
      <c r="A5" t="s">
        <v>26</v>
      </c>
      <c r="B5">
        <v>98765</v>
      </c>
      <c r="C5">
        <v>80</v>
      </c>
      <c r="D5">
        <v>76</v>
      </c>
      <c r="E5" s="2">
        <v>43</v>
      </c>
      <c r="F5">
        <v>85</v>
      </c>
      <c r="G5">
        <v>78</v>
      </c>
      <c r="H5">
        <v>78</v>
      </c>
      <c r="I5">
        <v>89</v>
      </c>
      <c r="J5">
        <v>700</v>
      </c>
      <c r="K5">
        <f t="shared" si="0"/>
        <v>529</v>
      </c>
      <c r="L5" s="3">
        <f t="shared" si="1"/>
        <v>75.5714285714286</v>
      </c>
      <c r="M5" s="3">
        <f t="shared" si="2"/>
        <v>75.5714285714286</v>
      </c>
      <c r="N5">
        <f t="shared" si="3"/>
        <v>43</v>
      </c>
      <c r="O5">
        <f t="shared" si="4"/>
        <v>89</v>
      </c>
      <c r="P5">
        <v>5</v>
      </c>
      <c r="Q5">
        <f>POWER(I5,2)</f>
        <v>7921</v>
      </c>
      <c r="R5">
        <f t="shared" si="5"/>
        <v>7921</v>
      </c>
      <c r="S5" t="str">
        <f t="shared" si="6"/>
        <v>hamza khan98765</v>
      </c>
      <c r="T5" t="str">
        <f t="shared" ref="T5:T6" si="10">TRIM(A5)</f>
        <v>hamza khan</v>
      </c>
      <c r="U5" t="str">
        <f t="shared" si="8"/>
        <v>hamzajutt</v>
      </c>
      <c r="V5" t="str">
        <f t="shared" si="9"/>
        <v>hamza jut</v>
      </c>
    </row>
    <row r="6" spans="1:22">
      <c r="A6" t="s">
        <v>27</v>
      </c>
      <c r="B6">
        <v>27964</v>
      </c>
      <c r="C6">
        <v>80</v>
      </c>
      <c r="D6">
        <v>54</v>
      </c>
      <c r="E6" s="2">
        <v>46</v>
      </c>
      <c r="F6">
        <v>78</v>
      </c>
      <c r="G6">
        <v>78</v>
      </c>
      <c r="H6">
        <v>99</v>
      </c>
      <c r="I6">
        <v>89</v>
      </c>
      <c r="J6">
        <v>700</v>
      </c>
      <c r="K6">
        <f t="shared" si="0"/>
        <v>524</v>
      </c>
      <c r="L6" s="3">
        <f t="shared" si="1"/>
        <v>74.8571428571429</v>
      </c>
      <c r="M6" s="3">
        <f t="shared" si="2"/>
        <v>74.8571428571429</v>
      </c>
      <c r="N6">
        <f t="shared" si="3"/>
        <v>46</v>
      </c>
      <c r="O6">
        <f t="shared" si="4"/>
        <v>99</v>
      </c>
      <c r="P6">
        <v>5</v>
      </c>
      <c r="Q6">
        <f>POWER(I6,2)</f>
        <v>7921</v>
      </c>
      <c r="R6">
        <f t="shared" si="5"/>
        <v>7921</v>
      </c>
      <c r="S6" t="str">
        <f t="shared" si="6"/>
        <v>bakar jut27964</v>
      </c>
      <c r="T6" t="str">
        <f t="shared" si="10"/>
        <v>bakar jut</v>
      </c>
      <c r="U6" t="str">
        <f t="shared" si="8"/>
        <v>bakarjutt</v>
      </c>
      <c r="V6" t="str">
        <f t="shared" si="9"/>
        <v>bakar jut</v>
      </c>
    </row>
    <row r="7" spans="5:5">
      <c r="E7" s="2"/>
    </row>
    <row r="8" spans="5:5">
      <c r="E8" s="2"/>
    </row>
  </sheetData>
  <pageMargins left="0.7" right="0.7" top="0.75" bottom="0.75" header="0.3" footer="0.3"/>
  <pageSetup paperSize="9" orientation="portrait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Bilal abid Abbasi</cp:lastModifiedBy>
  <dcterms:created xsi:type="dcterms:W3CDTF">2025-11-24T06:21:00Z</dcterms:created>
  <dcterms:modified xsi:type="dcterms:W3CDTF">2026-01-15T14:29:41Z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96952003B56D4A9F8B3A042F0CA4DC25_12</vt:lpwstr>
  </property>
  <property fmtid="{D5CDD505-2E9C-101B-9397-08002B2CF9AE}" pid="3" name="KSOProductBuildVer">
    <vt:lpwstr>1033-12.2.0.23196</vt:lpwstr>
  </property>
</Properties>
</file>