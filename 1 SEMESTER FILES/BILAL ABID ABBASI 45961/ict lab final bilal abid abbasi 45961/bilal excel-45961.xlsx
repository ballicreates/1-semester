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User\Desktop\ict lab final bilal abid abbasi 45961\"/>
    </mc:Choice>
  </mc:AlternateContent>
  <bookViews>
    <workbookView xWindow="0" yWindow="0" windowWidth="19200" windowHeight="69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6" i="1" l="1"/>
  <c r="L6" i="1"/>
  <c r="K6" i="1"/>
  <c r="J6" i="1"/>
  <c r="I6" i="1"/>
  <c r="H6" i="1"/>
  <c r="G6" i="1"/>
  <c r="M5" i="1"/>
  <c r="L5" i="1"/>
  <c r="K5" i="1"/>
  <c r="J5" i="1"/>
  <c r="I5" i="1"/>
  <c r="H5" i="1"/>
  <c r="G5" i="1"/>
  <c r="M4" i="1"/>
  <c r="L4" i="1"/>
  <c r="K4" i="1"/>
  <c r="J4" i="1"/>
  <c r="I4" i="1"/>
  <c r="H4" i="1"/>
  <c r="G4" i="1"/>
  <c r="M3" i="1"/>
  <c r="L3" i="1"/>
  <c r="K3" i="1"/>
  <c r="J3" i="1"/>
  <c r="I3" i="1"/>
  <c r="H3" i="1"/>
  <c r="G3" i="1"/>
  <c r="M2" i="1"/>
  <c r="L2" i="1"/>
  <c r="K2" i="1"/>
  <c r="J2" i="1"/>
  <c r="I2" i="1"/>
  <c r="H2" i="1"/>
  <c r="G2" i="1"/>
</calcChain>
</file>

<file path=xl/sharedStrings.xml><?xml version="1.0" encoding="utf-8"?>
<sst xmlns="http://schemas.openxmlformats.org/spreadsheetml/2006/main" count="19" uniqueCount="19">
  <si>
    <t>STD NAME</t>
  </si>
  <si>
    <t>English</t>
  </si>
  <si>
    <t>Math</t>
  </si>
  <si>
    <t>Science</t>
  </si>
  <si>
    <t>TOTAL</t>
  </si>
  <si>
    <t>Obtained</t>
  </si>
  <si>
    <t>AVERAGE</t>
  </si>
  <si>
    <t>RESULT</t>
  </si>
  <si>
    <t>MAX</t>
  </si>
  <si>
    <t>MIN</t>
  </si>
  <si>
    <t>COUNT</t>
  </si>
  <si>
    <t>sum</t>
  </si>
  <si>
    <t>BILAL</t>
  </si>
  <si>
    <t>ALI AHMED</t>
  </si>
  <si>
    <t xml:space="preserve"> MUSTAFA ABID</t>
  </si>
  <si>
    <t>HAMZA</t>
  </si>
  <si>
    <t>FARIS</t>
  </si>
  <si>
    <t xml:space="preserve"> 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</si>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</sst>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>
    <font>
      <sz val="11"/>
      <color theme="1"/>
      <name val="Calibri"/>
      <charset val="134"/>
      <scheme val="minor"/>
    </font>
    <font>
      <b/>
      <sz val="11"/>
      <color theme="7" tint="-0.249977111117893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1"/>
      <color theme="8" tint="-0.499984740745262"/>
      <name val="Calibri"/>
      <charset val="134"/>
      <scheme val="minor"/>
    </font>
    <font>
      <b/>
      <sz val="11"/>
      <color theme="9" tint="-0.499984740745262"/>
      <name val="Calibri"/>
      <charset val="134"/>
      <scheme val="minor"/>
    </font>
    <font>
      <b/>
      <sz val="11"/>
      <color rgb="FF002060"/>
      <name val="Calibri"/>
      <charset val="134"/>
      <scheme val="minor"/>
    </font>
    <font>
      <sz val="11"/>
      <color theme="7" tint="-0.249977111117893"/>
      <name val="Calibri"/>
      <charset val="134"/>
      <scheme val="minor"/>
    </font>
    <font>
      <sz val="11"/>
      <color theme="8" tint="-0.499984740745262"/>
      <name val="Calibri"/>
      <charset val="134"/>
      <scheme val="minor"/>
    </font>
    <font>
      <sz val="11"/>
      <color theme="9" tint="-0.499984740745262"/>
      <name val="Calibri"/>
      <charset val="134"/>
      <scheme val="minor"/>
    </font>
    <font>
      <sz val="11"/>
      <color rgb="FF002060"/>
      <name val="Calibri"/>
      <charset val="134"/>
      <scheme val="minor"/>
    </font>
    <font>
      <b/>
      <sz val="11"/>
      <color theme="5" tint="-0.499984740745262"/>
      <name val="Calibri"/>
      <charset val="134"/>
      <scheme val="minor"/>
    </font>
    <font>
      <b/>
      <sz val="11"/>
      <color theme="5" tint="0.79992065187536243"/>
      <name val="Calibri"/>
      <charset val="134"/>
      <scheme val="minor"/>
    </font>
    <font>
      <b/>
      <sz val="11"/>
      <color theme="1" tint="4.9989318521683403E-2"/>
      <name val="Calibri"/>
      <charset val="134"/>
      <scheme val="minor"/>
    </font>
    <font>
      <b/>
      <sz val="11"/>
      <color rgb="FFFF0000"/>
      <name val="Calibri"/>
      <charset val="134"/>
      <scheme val="minor"/>
    </font>
    <font>
      <sz val="11"/>
      <color theme="5" tint="-0.499984740745262"/>
      <name val="Calibri"/>
      <charset val="134"/>
      <scheme val="minor"/>
    </font>
    <font>
      <sz val="11"/>
      <color theme="5" tint="0.79992065187536243"/>
      <name val="Calibri"/>
      <charset val="134"/>
      <scheme val="minor"/>
    </font>
    <font>
      <sz val="11"/>
      <color theme="1" tint="4.9989318521683403E-2"/>
      <name val="Calibri"/>
      <charset val="134"/>
      <scheme val="minor"/>
    </font>
    <font>
      <sz val="11"/>
      <color rgb="FFFF0000"/>
      <name val="Calibri"/>
      <charset val="134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1" tint="4.9989318521683403E-2"/>
        <bgColor indexed="64"/>
      </patternFill>
    </fill>
    <fill>
      <patternFill patternType="solid">
        <fgColor theme="9" tint="0.39991454817346722"/>
        <bgColor indexed="64"/>
      </patternFill>
    </fill>
    <fill>
      <patternFill patternType="solid">
        <fgColor theme="7" tint="0.3999145481734672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5" tint="0.3999145481734672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5" tint="0.7999206518753624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1" xfId="0" applyFont="1" applyFill="1" applyBorder="1"/>
    <xf numFmtId="0" fontId="2" fillId="0" borderId="1" xfId="0" applyFont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5" fillId="5" borderId="1" xfId="0" applyFont="1" applyFill="1" applyBorder="1" applyAlignment="1">
      <alignment horizontal="center"/>
    </xf>
    <xf numFmtId="0" fontId="6" fillId="2" borderId="1" xfId="0" applyFont="1" applyFill="1" applyBorder="1"/>
    <xf numFmtId="0" fontId="0" fillId="0" borderId="1" xfId="0" applyBorder="1"/>
    <xf numFmtId="0" fontId="7" fillId="3" borderId="1" xfId="0" applyFont="1" applyFill="1" applyBorder="1"/>
    <xf numFmtId="0" fontId="8" fillId="4" borderId="1" xfId="0" applyFont="1" applyFill="1" applyBorder="1"/>
    <xf numFmtId="0" fontId="9" fillId="5" borderId="1" xfId="0" applyFont="1" applyFill="1" applyBorder="1"/>
    <xf numFmtId="0" fontId="10" fillId="6" borderId="1" xfId="0" applyFont="1" applyFill="1" applyBorder="1" applyAlignment="1">
      <alignment horizontal="center"/>
    </xf>
    <xf numFmtId="0" fontId="11" fillId="7" borderId="1" xfId="0" applyFont="1" applyFill="1" applyBorder="1" applyAlignment="1">
      <alignment horizontal="center"/>
    </xf>
    <xf numFmtId="0" fontId="4" fillId="8" borderId="1" xfId="0" applyFont="1" applyFill="1" applyBorder="1"/>
    <xf numFmtId="0" fontId="12" fillId="9" borderId="1" xfId="0" applyFont="1" applyFill="1" applyBorder="1" applyAlignment="1">
      <alignment horizontal="center"/>
    </xf>
    <xf numFmtId="0" fontId="13" fillId="8" borderId="1" xfId="0" applyFont="1" applyFill="1" applyBorder="1" applyAlignment="1">
      <alignment horizontal="center"/>
    </xf>
    <xf numFmtId="0" fontId="10" fillId="10" borderId="1" xfId="0" applyFont="1" applyFill="1" applyBorder="1" applyAlignment="1">
      <alignment horizontal="center"/>
    </xf>
    <xf numFmtId="0" fontId="14" fillId="6" borderId="1" xfId="0" applyFont="1" applyFill="1" applyBorder="1"/>
    <xf numFmtId="0" fontId="15" fillId="7" borderId="1" xfId="0" applyFont="1" applyFill="1" applyBorder="1"/>
    <xf numFmtId="0" fontId="8" fillId="8" borderId="1" xfId="0" applyFont="1" applyFill="1" applyBorder="1"/>
    <xf numFmtId="0" fontId="16" fillId="9" borderId="1" xfId="0" applyFont="1" applyFill="1" applyBorder="1"/>
    <xf numFmtId="0" fontId="17" fillId="8" borderId="1" xfId="0" applyFont="1" applyFill="1" applyBorder="1"/>
    <xf numFmtId="14" fontId="14" fillId="10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Sheet1!$B$9:$L$9</c:f>
              <c:strCache>
                <c:ptCount val="11"/>
                <c:pt idx="0">
                  <c:v>FARIS</c:v>
                </c:pt>
                <c:pt idx="1">
                  <c:v>54</c:v>
                </c:pt>
                <c:pt idx="2">
                  <c:v>45</c:v>
                </c:pt>
                <c:pt idx="3">
                  <c:v>35</c:v>
                </c:pt>
                <c:pt idx="4">
                  <c:v>300</c:v>
                </c:pt>
                <c:pt idx="5">
                  <c:v>134</c:v>
                </c:pt>
                <c:pt idx="6">
                  <c:v>44.66666667</c:v>
                </c:pt>
                <c:pt idx="7">
                  <c:v>fail</c:v>
                </c:pt>
                <c:pt idx="8">
                  <c:v>54</c:v>
                </c:pt>
                <c:pt idx="9">
                  <c:v>35</c:v>
                </c:pt>
                <c:pt idx="10">
                  <c:v>7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cat>
            <c:strRef>
              <c:f>Sheet1!$M$1:$M$8</c:f>
              <c:strCache>
                <c:ptCount val="8"/>
                <c:pt idx="0">
                  <c:v>sum</c:v>
                </c:pt>
                <c:pt idx="1">
                  <c:v>246</c:v>
                </c:pt>
                <c:pt idx="2">
                  <c:v>246</c:v>
                </c:pt>
                <c:pt idx="3">
                  <c:v>203</c:v>
                </c:pt>
                <c:pt idx="4">
                  <c:v>194</c:v>
                </c:pt>
                <c:pt idx="5">
                  <c:v>134</c:v>
                </c:pt>
                <c:pt idx="7">
                  <c:v> </c:v>
                </c:pt>
              </c:strCache>
            </c:strRef>
          </c:cat>
          <c:val>
            <c:numRef>
              <c:f>Sheet1!$M$9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1C2-45FC-8D2E-B104AD7760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00"/>
    </a:solidFill>
    <a:ln>
      <a:solidFill>
        <a:srgbClr val="FF0000"/>
      </a:solidFill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536574</xdr:colOff>
      <xdr:row>10</xdr:row>
      <xdr:rowOff>50799</xdr:rowOff>
    </xdr:from>
    <xdr:to>
      <xdr:col>13</xdr:col>
      <xdr:colOff>95249</xdr:colOff>
      <xdr:row>19</xdr:row>
      <xdr:rowOff>3174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N9"/>
  <sheetViews>
    <sheetView tabSelected="1" workbookViewId="0">
      <selection activeCell="O14" sqref="O14"/>
    </sheetView>
  </sheetViews>
  <sheetFormatPr defaultColWidth="9" defaultRowHeight="14.5"/>
  <sheetData>
    <row r="1" spans="2:14">
      <c r="B1" s="1" t="s">
        <v>0</v>
      </c>
      <c r="C1" s="2" t="s">
        <v>1</v>
      </c>
      <c r="D1" s="2" t="s">
        <v>2</v>
      </c>
      <c r="E1" s="2" t="s">
        <v>3</v>
      </c>
      <c r="F1" s="3" t="s">
        <v>4</v>
      </c>
      <c r="G1" s="4" t="s">
        <v>5</v>
      </c>
      <c r="H1" s="5" t="s">
        <v>6</v>
      </c>
      <c r="I1" s="11" t="s">
        <v>7</v>
      </c>
      <c r="J1" s="12" t="s">
        <v>8</v>
      </c>
      <c r="K1" s="13" t="s">
        <v>9</v>
      </c>
      <c r="L1" s="14" t="s">
        <v>10</v>
      </c>
      <c r="M1" s="15" t="s">
        <v>11</v>
      </c>
      <c r="N1" s="16"/>
    </row>
    <row r="2" spans="2:14">
      <c r="B2" s="6" t="s">
        <v>12</v>
      </c>
      <c r="C2" s="7">
        <v>65</v>
      </c>
      <c r="D2" s="7">
        <v>92</v>
      </c>
      <c r="E2" s="7">
        <v>89</v>
      </c>
      <c r="F2" s="8">
        <v>300</v>
      </c>
      <c r="G2" s="9">
        <f>SUM(C2:E2)</f>
        <v>246</v>
      </c>
      <c r="H2" s="10">
        <f>AVERAGE(C2:E2)</f>
        <v>82</v>
      </c>
      <c r="I2" s="17" t="str">
        <f>IF(H2&gt;=50,"pass","fail")</f>
        <v>pass</v>
      </c>
      <c r="J2" s="18">
        <f>MAX(C2:E2)</f>
        <v>92</v>
      </c>
      <c r="K2" s="19">
        <f>MIN(C2:E2)</f>
        <v>65</v>
      </c>
      <c r="L2" s="20">
        <f>COUNT(C2:J2)</f>
        <v>7</v>
      </c>
      <c r="M2" s="21">
        <f>SUM(C2:E2)</f>
        <v>246</v>
      </c>
      <c r="N2" s="22"/>
    </row>
    <row r="3" spans="2:14">
      <c r="B3" s="6" t="s">
        <v>13</v>
      </c>
      <c r="C3" s="7">
        <v>95</v>
      </c>
      <c r="D3" s="7">
        <v>86</v>
      </c>
      <c r="E3" s="7">
        <v>65</v>
      </c>
      <c r="F3" s="8">
        <v>300</v>
      </c>
      <c r="G3" s="9">
        <f t="shared" ref="G3:G6" si="0">SUM(C3:E3)</f>
        <v>246</v>
      </c>
      <c r="H3" s="10">
        <f t="shared" ref="H3:H6" si="1">AVERAGE(C3:E3)</f>
        <v>82</v>
      </c>
      <c r="I3" s="17" t="str">
        <f t="shared" ref="I3:I6" si="2">IF(H3&gt;=50,"pass","fail")</f>
        <v>pass</v>
      </c>
      <c r="J3" s="18">
        <f t="shared" ref="J3:J6" si="3">MAX(C3:E3)</f>
        <v>95</v>
      </c>
      <c r="K3" s="19">
        <f t="shared" ref="K3:K6" si="4">MIN(C3:E3)</f>
        <v>65</v>
      </c>
      <c r="L3" s="20">
        <f t="shared" ref="L3:L6" si="5">COUNT(C3:J3)</f>
        <v>7</v>
      </c>
      <c r="M3" s="21">
        <f t="shared" ref="M3:M6" si="6">SUM(C3:E3)</f>
        <v>246</v>
      </c>
      <c r="N3" s="22"/>
    </row>
    <row r="4" spans="2:14">
      <c r="B4" s="6" t="s">
        <v>14</v>
      </c>
      <c r="C4" s="7">
        <v>22</v>
      </c>
      <c r="D4" s="7">
        <v>96</v>
      </c>
      <c r="E4" s="7">
        <v>85</v>
      </c>
      <c r="F4" s="8">
        <v>300</v>
      </c>
      <c r="G4" s="9">
        <f t="shared" si="0"/>
        <v>203</v>
      </c>
      <c r="H4" s="10">
        <f t="shared" si="1"/>
        <v>67.6666666666667</v>
      </c>
      <c r="I4" s="17" t="str">
        <f t="shared" si="2"/>
        <v>pass</v>
      </c>
      <c r="J4" s="18">
        <f t="shared" si="3"/>
        <v>96</v>
      </c>
      <c r="K4" s="19">
        <f t="shared" si="4"/>
        <v>22</v>
      </c>
      <c r="L4" s="20">
        <f t="shared" si="5"/>
        <v>7</v>
      </c>
      <c r="M4" s="21">
        <f t="shared" si="6"/>
        <v>203</v>
      </c>
      <c r="N4" s="22"/>
    </row>
    <row r="5" spans="2:14">
      <c r="B5" s="6" t="s">
        <v>15</v>
      </c>
      <c r="C5" s="7">
        <v>65</v>
      </c>
      <c r="D5" s="7">
        <v>33</v>
      </c>
      <c r="E5" s="7">
        <v>96</v>
      </c>
      <c r="F5" s="8">
        <v>300</v>
      </c>
      <c r="G5" s="9">
        <f t="shared" si="0"/>
        <v>194</v>
      </c>
      <c r="H5" s="10">
        <f t="shared" si="1"/>
        <v>64.6666666666667</v>
      </c>
      <c r="I5" s="17" t="str">
        <f t="shared" si="2"/>
        <v>pass</v>
      </c>
      <c r="J5" s="18">
        <f t="shared" si="3"/>
        <v>96</v>
      </c>
      <c r="K5" s="19">
        <f t="shared" si="4"/>
        <v>33</v>
      </c>
      <c r="L5" s="20">
        <f t="shared" si="5"/>
        <v>7</v>
      </c>
      <c r="M5" s="21">
        <f t="shared" si="6"/>
        <v>194</v>
      </c>
      <c r="N5" s="22"/>
    </row>
    <row r="6" spans="2:14">
      <c r="B6" s="6" t="s">
        <v>16</v>
      </c>
      <c r="C6" s="7">
        <v>54</v>
      </c>
      <c r="D6" s="7">
        <v>45</v>
      </c>
      <c r="E6" s="7">
        <v>35</v>
      </c>
      <c r="F6" s="8">
        <v>300</v>
      </c>
      <c r="G6" s="9">
        <f t="shared" si="0"/>
        <v>134</v>
      </c>
      <c r="H6" s="10">
        <f t="shared" si="1"/>
        <v>44.6666666666667</v>
      </c>
      <c r="I6" s="17" t="str">
        <f t="shared" si="2"/>
        <v>fail</v>
      </c>
      <c r="J6" s="18">
        <f t="shared" si="3"/>
        <v>54</v>
      </c>
      <c r="K6" s="19">
        <f t="shared" si="4"/>
        <v>35</v>
      </c>
      <c r="L6" s="20">
        <f t="shared" si="5"/>
        <v>7</v>
      </c>
      <c r="M6" s="21">
        <f t="shared" si="6"/>
        <v>134</v>
      </c>
      <c r="N6" s="22"/>
    </row>
    <row r="7" spans="2:14">
      <c r="B7" s="6"/>
      <c r="C7" s="7"/>
      <c r="D7" s="7"/>
      <c r="E7" s="7"/>
      <c r="F7" s="8"/>
      <c r="G7" s="9"/>
      <c r="H7" s="10"/>
      <c r="I7" s="17"/>
      <c r="J7" s="18"/>
      <c r="K7" s="19"/>
      <c r="L7" s="20"/>
      <c r="M7" s="21"/>
      <c r="N7" s="22"/>
    </row>
    <row r="8" spans="2:14">
      <c r="M8" t="s">
        <v>17</v>
      </c>
    </row>
    <row r="9" spans="2:14">
      <c r="M9" t="s">
        <v>18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2026-01-19T06:23:00Z</dcterms:created>
  <dcterms:modified xsi:type="dcterms:W3CDTF">2026-01-19T06:49:38Z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76EFDEED9BCC4831BCBB00FE9F907D8A_12</vt:lpwstr>
  </property>
  <property fmtid="{D5CDD505-2E9C-101B-9397-08002B2CF9AE}" pid="3" name="KSOProductBuildVer">
    <vt:lpwstr>1033-12.2.0.23196</vt:lpwstr>
  </property>
</Properties>
</file>