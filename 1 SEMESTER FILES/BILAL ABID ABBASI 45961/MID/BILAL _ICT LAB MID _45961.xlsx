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180" windowHeight="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4" i="1"/>
  <c r="O3" i="1"/>
  <c r="O2" i="1"/>
  <c r="N3" i="1" l="1"/>
  <c r="N4" i="1"/>
  <c r="N5" i="1"/>
  <c r="N2" i="1"/>
  <c r="M3" i="1"/>
  <c r="M4" i="1"/>
  <c r="M5" i="1"/>
  <c r="M2" i="1"/>
  <c r="L3" i="1"/>
  <c r="L4" i="1"/>
  <c r="L5" i="1"/>
  <c r="L2" i="1"/>
  <c r="K3" i="1"/>
  <c r="K4" i="1"/>
  <c r="K5" i="1"/>
  <c r="K2" i="1"/>
  <c r="J3" i="1"/>
  <c r="J4" i="1"/>
  <c r="J5" i="1"/>
  <c r="J2" i="1"/>
  <c r="I3" i="1"/>
  <c r="I4" i="1"/>
  <c r="I5" i="1"/>
  <c r="I2" i="1"/>
</calcChain>
</file>

<file path=xl/sharedStrings.xml><?xml version="1.0" encoding="utf-8"?>
<sst xmlns="http://schemas.openxmlformats.org/spreadsheetml/2006/main" count="19" uniqueCount="19">
  <si>
    <t>STUDENTS NAME</t>
  </si>
  <si>
    <t>ID</t>
  </si>
  <si>
    <t>ENGLISH</t>
  </si>
  <si>
    <t>TOTAL MARKS</t>
  </si>
  <si>
    <t>OBTAINED MARKS</t>
  </si>
  <si>
    <t>average</t>
  </si>
  <si>
    <t>percentage</t>
  </si>
  <si>
    <t>minimum</t>
  </si>
  <si>
    <t>maximum</t>
  </si>
  <si>
    <t>count</t>
  </si>
  <si>
    <t>square</t>
  </si>
  <si>
    <t xml:space="preserve"> BILAL ABBASI</t>
  </si>
  <si>
    <t>MUSTAFA KHAN</t>
  </si>
  <si>
    <t>HAMZA ABBAS</t>
  </si>
  <si>
    <t xml:space="preserve"> ALI RAZA </t>
  </si>
  <si>
    <t>MATHS</t>
  </si>
  <si>
    <t>SCIENCE</t>
  </si>
  <si>
    <t>COMPUTER</t>
  </si>
  <si>
    <t>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</si>
</sst>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0"/>
      <name val="Calibri"/>
      <charset val="134"/>
    </font>
    <font>
      <b/>
      <sz val="14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0" fontId="1" fillId="0" borderId="0" xfId="0" applyFont="1"/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G1" sqref="G1"/>
    </sheetView>
  </sheetViews>
  <sheetFormatPr defaultRowHeight="14.5"/>
  <cols>
    <col min="1" max="1" width="15.1796875" bestFit="1" customWidth="1"/>
    <col min="8" max="8" width="12.54296875" bestFit="1" customWidth="1"/>
    <col min="9" max="9" width="16" bestFit="1" customWidth="1"/>
    <col min="11" max="11" width="12.90625" bestFit="1" customWidth="1"/>
    <col min="12" max="12" width="11.26953125" bestFit="1" customWidth="1"/>
    <col min="13" max="13" width="11.7265625" bestFit="1" customWidth="1"/>
    <col min="14" max="14" width="7.08984375" bestFit="1" customWidth="1"/>
    <col min="17" max="17" width="13.6328125" bestFit="1" customWidth="1"/>
    <col min="18" max="18" width="14.26953125" bestFit="1" customWidth="1"/>
    <col min="19" max="19" width="15.54296875" bestFit="1" customWidth="1"/>
  </cols>
  <sheetData>
    <row r="1" spans="1:21" ht="18.5">
      <c r="A1" t="s">
        <v>0</v>
      </c>
      <c r="B1" t="s">
        <v>1</v>
      </c>
      <c r="C1" s="2" t="s">
        <v>2</v>
      </c>
      <c r="D1" t="s">
        <v>15</v>
      </c>
      <c r="E1" t="s">
        <v>16</v>
      </c>
      <c r="F1" t="s">
        <v>17</v>
      </c>
      <c r="G1" s="2" t="s">
        <v>18</v>
      </c>
      <c r="H1" t="s">
        <v>3</v>
      </c>
      <c r="I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/>
      <c r="Q1" s="3"/>
      <c r="R1" s="1"/>
      <c r="S1" s="1"/>
      <c r="T1" s="1"/>
      <c r="U1" s="1"/>
    </row>
    <row r="2" spans="1:21">
      <c r="A2" t="s">
        <v>12</v>
      </c>
      <c r="B2">
        <v>7895</v>
      </c>
      <c r="C2">
        <v>78</v>
      </c>
      <c r="D2">
        <v>80</v>
      </c>
      <c r="E2">
        <v>88</v>
      </c>
      <c r="F2">
        <v>80</v>
      </c>
      <c r="G2">
        <v>85</v>
      </c>
      <c r="H2">
        <v>500</v>
      </c>
      <c r="I2">
        <f>SUM(C2,D2,E2,F2,G2)</f>
        <v>411</v>
      </c>
      <c r="J2">
        <f>AVERAGE(C2,D2,E2,F2,G2)</f>
        <v>82.2</v>
      </c>
      <c r="K2">
        <f>AVERAGE(C2:G2)</f>
        <v>82.2</v>
      </c>
      <c r="L2">
        <f>MIN(C2:G2)</f>
        <v>78</v>
      </c>
      <c r="M2">
        <f>MAX(C2:G2)</f>
        <v>88</v>
      </c>
      <c r="N2">
        <f>COUNT(C2:G2)</f>
        <v>5</v>
      </c>
      <c r="O2">
        <f>POWER(C2,2)</f>
        <v>6084</v>
      </c>
    </row>
    <row r="3" spans="1:21">
      <c r="A3" t="s">
        <v>14</v>
      </c>
      <c r="B3">
        <v>5478</v>
      </c>
      <c r="C3">
        <v>80</v>
      </c>
      <c r="D3">
        <v>80</v>
      </c>
      <c r="E3">
        <v>88</v>
      </c>
      <c r="F3">
        <v>87</v>
      </c>
      <c r="G3">
        <v>86</v>
      </c>
      <c r="H3">
        <v>500</v>
      </c>
      <c r="I3">
        <f t="shared" ref="I3:I5" si="0">SUM(C3,D3,E3,F3,G3)</f>
        <v>421</v>
      </c>
      <c r="J3">
        <f t="shared" ref="J3:J5" si="1">AVERAGE(C3,D3,E3,F3,G3)</f>
        <v>84.2</v>
      </c>
      <c r="K3">
        <f t="shared" ref="K3:K5" si="2">AVERAGE(C3:G3)</f>
        <v>84.2</v>
      </c>
      <c r="L3">
        <f t="shared" ref="L3:L5" si="3">MIN(C3:G3)</f>
        <v>80</v>
      </c>
      <c r="M3">
        <f t="shared" ref="M3:M5" si="4">MAX(C3:G3)</f>
        <v>88</v>
      </c>
      <c r="N3">
        <f t="shared" ref="N3:N5" si="5">COUNT(C3:G3)</f>
        <v>5</v>
      </c>
      <c r="O3">
        <f t="shared" ref="O3:O5" si="6">POWER(C3,2)</f>
        <v>6400</v>
      </c>
    </row>
    <row r="4" spans="1:21">
      <c r="A4" t="s">
        <v>13</v>
      </c>
      <c r="B4">
        <v>9876</v>
      </c>
      <c r="C4">
        <v>88</v>
      </c>
      <c r="D4">
        <v>80</v>
      </c>
      <c r="E4">
        <v>86</v>
      </c>
      <c r="F4">
        <v>86</v>
      </c>
      <c r="G4">
        <v>86</v>
      </c>
      <c r="H4">
        <v>500</v>
      </c>
      <c r="I4">
        <f t="shared" si="0"/>
        <v>426</v>
      </c>
      <c r="J4">
        <f t="shared" si="1"/>
        <v>85.2</v>
      </c>
      <c r="K4">
        <f t="shared" si="2"/>
        <v>85.2</v>
      </c>
      <c r="L4">
        <f t="shared" si="3"/>
        <v>80</v>
      </c>
      <c r="M4">
        <f t="shared" si="4"/>
        <v>88</v>
      </c>
      <c r="N4">
        <f t="shared" si="5"/>
        <v>5</v>
      </c>
      <c r="O4">
        <f t="shared" si="6"/>
        <v>7744</v>
      </c>
    </row>
    <row r="5" spans="1:21">
      <c r="A5" t="s">
        <v>11</v>
      </c>
      <c r="B5">
        <v>5687</v>
      </c>
      <c r="C5">
        <v>89</v>
      </c>
      <c r="D5">
        <v>89</v>
      </c>
      <c r="E5">
        <v>87</v>
      </c>
      <c r="F5">
        <v>88</v>
      </c>
      <c r="G5">
        <v>85</v>
      </c>
      <c r="H5">
        <v>500</v>
      </c>
      <c r="I5">
        <f t="shared" si="0"/>
        <v>438</v>
      </c>
      <c r="J5">
        <f t="shared" si="1"/>
        <v>87.6</v>
      </c>
      <c r="K5">
        <f t="shared" si="2"/>
        <v>87.6</v>
      </c>
      <c r="L5">
        <f t="shared" si="3"/>
        <v>85</v>
      </c>
      <c r="M5">
        <f t="shared" si="4"/>
        <v>89</v>
      </c>
      <c r="N5">
        <f t="shared" si="5"/>
        <v>5</v>
      </c>
      <c r="O5">
        <f t="shared" si="6"/>
        <v>7921</v>
      </c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2025-12-13T04:19:36Z</dcterms:created>
  <dcterms:modified xsi:type="dcterms:W3CDTF">2025-12-15T07:23:37Z</dcterms:modified>
</cp:coreProperties>
</file>